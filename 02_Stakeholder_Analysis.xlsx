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keholder List" sheetId="1" r:id="rId4"/>
    <sheet state="visible" name="Stakeholder Analysis" sheetId="2" r:id="rId5"/>
    <sheet state="visible" name="RACI Matrix" sheetId="3" r:id="rId6"/>
  </sheets>
  <definedNames/>
  <calcPr/>
  <extLst>
    <ext uri="GoogleSheetsCustomDataVersion2">
      <go:sheetsCustomData xmlns:go="http://customooxmlschemas.google.com/" r:id="rId7" roundtripDataChecksum="mn1oVBRSUzXXQgnKd2/52fAvqmfJzvvUeZ2vUZMz+Xk="/>
    </ext>
  </extLst>
</workbook>
</file>

<file path=xl/sharedStrings.xml><?xml version="1.0" encoding="utf-8"?>
<sst xmlns="http://schemas.openxmlformats.org/spreadsheetml/2006/main" count="507" uniqueCount="125">
  <si>
    <t>Stakeholder List</t>
  </si>
  <si>
    <t>Job Title</t>
  </si>
  <si>
    <t>Role</t>
  </si>
  <si>
    <t>Stakeholder Organization</t>
  </si>
  <si>
    <t>Comments</t>
  </si>
  <si>
    <t>Influence</t>
  </si>
  <si>
    <t>Impact</t>
  </si>
  <si>
    <t>Bilavasitə Maraqlı Tərəflər (Business Stakeholders)</t>
  </si>
  <si>
    <t>Dövlət / Tənzimləyici Qurumlar</t>
  </si>
  <si>
    <t>Nəqliyyat Nazirliyi</t>
  </si>
  <si>
    <t>Decision Maker</t>
  </si>
  <si>
    <t>Dövlət</t>
  </si>
  <si>
    <t>Məsafə əsaslı tarif modelinin qanunvericilik çərçivəsini müəyyən edir; siyasi qərarları verir.</t>
  </si>
  <si>
    <t>High</t>
  </si>
  <si>
    <t>Bakı Nəqliyyat Agentliyi - AYNA</t>
  </si>
  <si>
    <t>Sistemin əsas sifarişçisi və operativ idarəedicisi; tarif siyasətini, KPI-ları və pilot marşrutları müəyyən edir.</t>
  </si>
  <si>
    <t>Maliyyə Nazirliyi</t>
  </si>
  <si>
    <t>Key Stakeholder</t>
  </si>
  <si>
    <t>Subsidiya büdcəsini təsdiqləyir; gəlir modelinin maliyyə dayanıqlılığını qiymətləndirir.</t>
  </si>
  <si>
    <t>Antiinhisar Komitəsi</t>
  </si>
  <si>
    <t>Tarif artışlarının ədalətliliyini və rəqabət uyğunluğunu nəzarət altında saxlayır.</t>
  </si>
  <si>
    <t>Avtobus Operatorları / Xidmət Təminatçıları</t>
  </si>
  <si>
    <t>CEO / Baş Direktor</t>
  </si>
  <si>
    <t>Avtobus şirkəti</t>
  </si>
  <si>
    <t>Yeni tarif modelinin əməliyyat xərclərinə və gəlirinə təsirini qiymətləndirir; müqaviləni imzalayır.</t>
  </si>
  <si>
    <t>Əməliyyat Direktoru</t>
  </si>
  <si>
    <t>Marşrut cədvəlini, sürücü işini və avtobus parkını yeni sistemə uyğunlaşdırır.</t>
  </si>
  <si>
    <t>Maliyyə Direktoru (CFO)</t>
  </si>
  <si>
    <t>Gəlir bölgüsü modelini, xərc hesabatlarını və gəlir proqnozunu hazırlayır.</t>
  </si>
  <si>
    <t>Avtobus Sürücüləri</t>
  </si>
  <si>
    <t>Operational</t>
  </si>
  <si>
    <t xml:space="preserve">Yalnız marşrutun cədvələ uyğun icrası, sərnişinlərin minib-enmə processinə nəzarət </t>
  </si>
  <si>
    <t>Ödəniş Sistem Operatoru - Nəzarətçi</t>
  </si>
  <si>
    <t>Gündəlik olaraq tap-in/tap-out sistemini idarə edir; nasazlıq anlarında müdaxilə edir.</t>
  </si>
  <si>
    <t>Dispatcher / Əməliyyat Meneceri</t>
  </si>
  <si>
    <t>Real-time avtobus izlənməsini, gecikmələri və nasazlıqları idarə edir.</t>
  </si>
  <si>
    <t>Medium</t>
  </si>
  <si>
    <t>Sərnişinlər (Son İstifadəçilər)</t>
  </si>
  <si>
    <t>Gündəlik sərnişinlər</t>
  </si>
  <si>
    <t>End User</t>
  </si>
  <si>
    <t>İctimaiyyət</t>
  </si>
  <si>
    <t>Hər gün eyni marşrut ilə işə gedirlər; tarif dəyişikliyindən birbaşa maliyyə təsiri görürlər.</t>
  </si>
  <si>
    <t>Güzəştli Qruplar (pensiyaçı, əlil)</t>
  </si>
  <si>
    <t>Sosial qorunma tələb edir; mövcud güzəştlərinin yeni sistemdə qorunması kritikdir.</t>
  </si>
  <si>
    <t>Tələbələr / Gənclər</t>
  </si>
  <si>
    <t>Qısa məsafəli tez-tez istifadəçilər; rəqəmsal tətbiq istifadəsinə daha hazırdırlar.</t>
  </si>
  <si>
    <t>Turistlər / Birdəfəlik İstifadəçilər</t>
  </si>
  <si>
    <t>Sistem şəffaflığına ehtiyac duyurlar; kartı olmadan alternativ ödəniş yolu lazımdır.</t>
  </si>
  <si>
    <t>Uzun Məsafəli Sərnişinlər</t>
  </si>
  <si>
    <t>Tarif artışından ən çox təsirlənəcək qrup; sistem dəyişikliyinə müqavimətin əsas mənbəyi ola bilər.</t>
  </si>
  <si>
    <t>Layihə / Həll Tərəfləri (Solution Stakeholders)</t>
  </si>
  <si>
    <t>Layihə Komandası</t>
  </si>
  <si>
    <t>Layihə Sponsoru (Agentlik rəhbəri)</t>
  </si>
  <si>
    <t>Layihə</t>
  </si>
  <si>
    <t>Layihənin maliyyəsini, strateji istiqamətini və son qərarları təsdiqləyir.</t>
  </si>
  <si>
    <t>Layihə Meneceri</t>
  </si>
  <si>
    <t>Layihənin icrasını, cədvəlini, risklərini və stakeholder koordinasiyasını idarə edir.</t>
  </si>
  <si>
    <t>Biznes Analitik</t>
  </si>
  <si>
    <t>Tələbləri toplayır, As-Is/To-Be prosesləri modelləşdirir, edge case-ləri müəyyən edir.</t>
  </si>
  <si>
    <t>Texnologiya Təminatçısı (vendor)</t>
  </si>
  <si>
    <t>Texnologiya</t>
  </si>
  <si>
    <t>GPS, tap-in/tap-out, ödəniş back-end sistemlərini təmin edir və quraşdırır.</t>
  </si>
  <si>
    <t>Backend Developer</t>
  </si>
  <si>
    <t>Tarif hesablama mühərrikini, API inteqrasiyalarını və verilənlər bazasını işləyir.</t>
  </si>
  <si>
    <t>UX/UI Dizayner</t>
  </si>
  <si>
    <t>Sərnişin tətbiqinin, kiosk interfeysinin və sürücü panelinin istifadəçi təcrübəsini dizayn edir.</t>
  </si>
  <si>
    <t>QA Mühəndisi</t>
  </si>
  <si>
    <t>GPS dəqiqliyi, tarif hesablaması və fraud ssenariləri daxil olmaqla bütün sistemləri test edir.</t>
  </si>
  <si>
    <t>Kibertəhlükəsizlik Mütəxəssisi</t>
  </si>
  <si>
    <t>Sərnişin məlumatlarının şifrələnməsini, giriş nəzarətini və GDPR uyğunluğunu təmin edir.</t>
  </si>
  <si>
    <t>Stakeholder Analysis</t>
  </si>
  <si>
    <t>Department</t>
  </si>
  <si>
    <t>Interest</t>
  </si>
  <si>
    <t>Engagement Strategy</t>
  </si>
  <si>
    <t>Manage Closely</t>
  </si>
  <si>
    <t>Bakı Nəqliyyat Agentliyi</t>
  </si>
  <si>
    <t>Keep Informed</t>
  </si>
  <si>
    <t>Gündəlik Komyuterlər</t>
  </si>
  <si>
    <t>Low</t>
  </si>
  <si>
    <t>Monitor</t>
  </si>
  <si>
    <t>RACI Matrix</t>
  </si>
  <si>
    <t>Responsible (Task owner, accountable for completion)</t>
  </si>
  <si>
    <t>Accountable (Decision-maker, responsible for project success)</t>
  </si>
  <si>
    <t>Consulted (Provides input/advice, not responsible for completion)</t>
  </si>
  <si>
    <t>Informed (Kept up-to-date, not involved in decision-making)</t>
  </si>
  <si>
    <t>Tasks</t>
  </si>
  <si>
    <t>Layihə Sponsoru</t>
  </si>
  <si>
    <t>Texnologiya Vendor</t>
  </si>
  <si>
    <t>Backend Dev</t>
  </si>
  <si>
    <t>Agentlik / Operator</t>
  </si>
  <si>
    <t>Sərnişinlər</t>
  </si>
  <si>
    <t>Tarif Sistemi Dizaynı</t>
  </si>
  <si>
    <t>Məsafə əsaslı tarif modelinin dizaynı</t>
  </si>
  <si>
    <t>A</t>
  </si>
  <si>
    <t>R</t>
  </si>
  <si>
    <t>C</t>
  </si>
  <si>
    <t>I</t>
  </si>
  <si>
    <t>Minimum tarif və məsafə dərəcəsinin müəyyəni</t>
  </si>
  <si>
    <t>Güzəştli qrup endirimlərinin tərtibi</t>
  </si>
  <si>
    <t>Transfer qaydaları və pəncərəsinin dizaynı</t>
  </si>
  <si>
    <t>A/R</t>
  </si>
  <si>
    <t>Edge case-lərin müəyyəni (tap-out yoxdur, GPS kəsilir)</t>
  </si>
  <si>
    <t>Texniki İnfrastruktur</t>
  </si>
  <si>
    <t>GPS / tap-in / tap-out sisteminin quraşdırılması</t>
  </si>
  <si>
    <t>Ödəniş back-end sisteminin hazırlanması</t>
  </si>
  <si>
    <t>Ağıllı kart / mobil tətbiqin inkişafı</t>
  </si>
  <si>
    <t>Kibertəhlükəsizlik və şifrələmə tətbiqi</t>
  </si>
  <si>
    <t>Mövcud sistemlərlə inteqrasiya</t>
  </si>
  <si>
    <t>Test və Keyfiyyət</t>
  </si>
  <si>
    <t>Tarif hesablama mühərrikinin testi</t>
  </si>
  <si>
    <t>GPS dəqiqliyi və fraud ssenarilərinin testi</t>
  </si>
  <si>
    <t>İstifadəçi qəbul testi (UAT)</t>
  </si>
  <si>
    <t>Pilot marşrutda sınaq və rəy toplanması</t>
  </si>
  <si>
    <t>İdarəetmə və Nəzarət</t>
  </si>
  <si>
    <t>SLA-ların müəyyəni və monitorinqi</t>
  </si>
  <si>
    <t>Gəlir hesabatları və analitika dashboard-u</t>
  </si>
  <si>
    <t>Risk analizi və azaltma planı</t>
  </si>
  <si>
    <t>Tarif şikayət mexanizminin idarəsi</t>
  </si>
  <si>
    <t>Subsidi̇ya şəffaflığı hesabatı</t>
  </si>
  <si>
    <t>Dəyişiklik İdarəetməsi</t>
  </si>
  <si>
    <t>İctimai kommunikasiya kampaniyası</t>
  </si>
  <si>
    <t>Sürücü təlimi və adaptasiyası</t>
  </si>
  <si>
    <t>Sərnişin məlumatlandırma proqramı</t>
  </si>
  <si>
    <t>Güzəştli kart paylanması proqramı</t>
  </si>
  <si>
    <t xml:space="preserve">Geri bildiriş toplanması və optimallaşdırma planı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</si>
</sst>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rgb="FFFFFFFF"/>
      <name val="Arial"/>
    </font>
    <font/>
    <font>
      <b/>
      <sz val="11.0"/>
      <color rgb="FF000000"/>
      <name val="Arial"/>
    </font>
    <font>
      <b/>
      <sz val="10.0"/>
      <color rgb="FF000000"/>
      <name val="Arial"/>
    </font>
    <font>
      <sz val="11.0"/>
      <color rgb="FF000000"/>
      <name val="Arial"/>
    </font>
    <font>
      <sz val="10.0"/>
      <color rgb="FF000000"/>
      <name val="Arial"/>
    </font>
    <font>
      <b/>
      <i/>
      <sz val="11.0"/>
      <color rgb="FF434343"/>
      <name val="Arial"/>
    </font>
    <font>
      <b/>
      <sz val="10.0"/>
      <color theme="1"/>
      <name val="Arial"/>
    </font>
    <font>
      <sz val="11.0"/>
      <color theme="1"/>
      <name val="Arial"/>
    </font>
    <font>
      <b/>
      <sz val="12.0"/>
      <color rgb="FFFFFFFF"/>
      <name val="Arial"/>
    </font>
    <font>
      <b/>
      <sz val="11.0"/>
      <color theme="1"/>
      <name val="Arial"/>
    </font>
    <font>
      <b/>
      <sz val="9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37410"/>
        <bgColor rgb="FFD37410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  <fill>
      <patternFill patternType="solid">
        <fgColor rgb="FFF2DCDB"/>
        <bgColor rgb="FFF2DCDB"/>
      </patternFill>
    </fill>
    <fill>
      <patternFill patternType="solid">
        <fgColor rgb="FF76A5AF"/>
        <bgColor rgb="FF76A5AF"/>
      </patternFill>
    </fill>
    <fill>
      <patternFill patternType="solid">
        <fgColor rgb="FFD9E5E7"/>
        <bgColor rgb="FFD9E5E7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4" fontId="4" numFmtId="0" xfId="0" applyAlignment="1" applyBorder="1" applyFill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4" fillId="5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8" fillId="8" fontId="1" numFmtId="0" xfId="0" applyBorder="1" applyFill="1" applyFont="1"/>
    <xf borderId="8" fillId="8" fontId="10" numFmtId="0" xfId="0" applyBorder="1" applyFont="1"/>
    <xf borderId="8" fillId="8" fontId="10" numFmtId="0" xfId="0" applyAlignment="1" applyBorder="1" applyFont="1">
      <alignment readingOrder="0"/>
    </xf>
    <xf borderId="0" fillId="0" fontId="11" numFmtId="0" xfId="0" applyFont="1"/>
    <xf borderId="4" fillId="0" fontId="12" numFmtId="0" xfId="0" applyAlignment="1" applyBorder="1" applyFont="1">
      <alignment horizontal="center" shrinkToFit="0" vertical="center" wrapText="1"/>
    </xf>
    <xf borderId="5" fillId="9" fontId="3" numFmtId="0" xfId="0" applyAlignment="1" applyBorder="1" applyFill="1" applyFont="1">
      <alignment horizontal="left" shrinkToFit="0" vertical="center" wrapText="1"/>
    </xf>
    <xf borderId="4" fillId="10" fontId="4" numFmtId="0" xfId="0" applyAlignment="1" applyBorder="1" applyFill="1" applyFont="1">
      <alignment horizontal="center" shrinkToFit="0" vertical="center" wrapText="1"/>
    </xf>
    <xf borderId="4" fillId="11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9.0"/>
    <col customWidth="1" min="2" max="2" width="16.0"/>
    <col customWidth="1" min="3" max="3" width="20.0"/>
    <col customWidth="1" min="4" max="4" width="55.0"/>
    <col customWidth="1" min="5" max="6" width="12.0"/>
  </cols>
  <sheetData>
    <row r="1" ht="17.25" customHeight="1">
      <c r="A1" s="1" t="s">
        <v>0</v>
      </c>
      <c r="B1" s="2"/>
      <c r="C1" s="2"/>
      <c r="D1" s="2"/>
      <c r="E1" s="2"/>
      <c r="F1" s="3"/>
    </row>
    <row r="2" ht="1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9.5" customHeight="1">
      <c r="A3" s="5" t="s">
        <v>7</v>
      </c>
      <c r="B3" s="6"/>
      <c r="C3" s="6"/>
      <c r="D3" s="6"/>
      <c r="E3" s="6"/>
      <c r="F3" s="7"/>
    </row>
    <row r="4" ht="18.0" customHeight="1">
      <c r="A4" s="8" t="s">
        <v>8</v>
      </c>
      <c r="B4" s="6"/>
      <c r="C4" s="6"/>
      <c r="D4" s="6"/>
      <c r="E4" s="6"/>
      <c r="F4" s="7"/>
    </row>
    <row r="5" ht="39.75" customHeight="1">
      <c r="A5" s="9" t="s">
        <v>9</v>
      </c>
      <c r="B5" s="10" t="s">
        <v>10</v>
      </c>
      <c r="C5" s="10" t="s">
        <v>11</v>
      </c>
      <c r="D5" s="9" t="s">
        <v>12</v>
      </c>
      <c r="E5" s="10" t="str">
        <f>IFERROR(VLOOKUP(A5,'Stakeholder Analysis'!$A$1:$F$96,3,FALSE()),"High")</f>
        <v>High</v>
      </c>
      <c r="F5" s="10" t="s">
        <v>13</v>
      </c>
    </row>
    <row r="6" ht="39.75" customHeight="1">
      <c r="A6" s="9" t="s">
        <v>14</v>
      </c>
      <c r="B6" s="10" t="s">
        <v>10</v>
      </c>
      <c r="C6" s="10" t="s">
        <v>11</v>
      </c>
      <c r="D6" s="9" t="s">
        <v>15</v>
      </c>
      <c r="E6" s="10" t="str">
        <f>IFERROR(VLOOKUP(A6,'Stakeholder Analysis'!$A$1:$F$96,3,FALSE()),"High")</f>
        <v>High</v>
      </c>
      <c r="F6" s="10" t="s">
        <v>13</v>
      </c>
    </row>
    <row r="7" ht="39.75" customHeight="1">
      <c r="A7" s="9" t="s">
        <v>16</v>
      </c>
      <c r="B7" s="10" t="s">
        <v>17</v>
      </c>
      <c r="C7" s="10" t="s">
        <v>11</v>
      </c>
      <c r="D7" s="9" t="s">
        <v>18</v>
      </c>
      <c r="E7" s="10" t="str">
        <f>IFERROR(VLOOKUP(A7,'Stakeholder Analysis'!$A$1:$F$96,3,FALSE()),"High")</f>
        <v>High</v>
      </c>
      <c r="F7" s="10" t="s">
        <v>13</v>
      </c>
    </row>
    <row r="8" ht="39.75" customHeight="1">
      <c r="A8" s="9" t="s">
        <v>19</v>
      </c>
      <c r="B8" s="10" t="s">
        <v>17</v>
      </c>
      <c r="C8" s="10" t="s">
        <v>11</v>
      </c>
      <c r="D8" s="9" t="s">
        <v>20</v>
      </c>
      <c r="E8" s="10" t="str">
        <f>IFERROR(VLOOKUP(A8,'Stakeholder Analysis'!$A$1:$F$96,3,FALSE()),"Medium")</f>
        <v>Medium</v>
      </c>
      <c r="F8" s="10" t="s">
        <v>13</v>
      </c>
    </row>
    <row r="9" ht="18.0" customHeight="1">
      <c r="A9" s="8" t="s">
        <v>21</v>
      </c>
      <c r="B9" s="6"/>
      <c r="C9" s="6"/>
      <c r="D9" s="6"/>
      <c r="E9" s="6"/>
      <c r="F9" s="7"/>
    </row>
    <row r="10" ht="39.75" customHeight="1">
      <c r="A10" s="9" t="s">
        <v>22</v>
      </c>
      <c r="B10" s="10" t="s">
        <v>10</v>
      </c>
      <c r="C10" s="10" t="s">
        <v>23</v>
      </c>
      <c r="D10" s="9" t="s">
        <v>24</v>
      </c>
      <c r="E10" s="10" t="str">
        <f>IFERROR(VLOOKUP(A10,'Stakeholder Analysis'!$A$1:$F$96,3,FALSE()),"High")</f>
        <v>High</v>
      </c>
      <c r="F10" s="10" t="s">
        <v>13</v>
      </c>
    </row>
    <row r="11" ht="39.75" customHeight="1">
      <c r="A11" s="9" t="s">
        <v>25</v>
      </c>
      <c r="B11" s="10" t="s">
        <v>17</v>
      </c>
      <c r="C11" s="10" t="s">
        <v>23</v>
      </c>
      <c r="D11" s="9" t="s">
        <v>26</v>
      </c>
      <c r="E11" s="10" t="str">
        <f>IFERROR(VLOOKUP(A11,'Stakeholder Analysis'!$A$1:$F$96,3,FALSE()),"High")</f>
        <v>High</v>
      </c>
      <c r="F11" s="10" t="s">
        <v>13</v>
      </c>
    </row>
    <row r="12" ht="39.75" customHeight="1">
      <c r="A12" s="9" t="s">
        <v>27</v>
      </c>
      <c r="B12" s="10" t="s">
        <v>17</v>
      </c>
      <c r="C12" s="10" t="s">
        <v>23</v>
      </c>
      <c r="D12" s="9" t="s">
        <v>28</v>
      </c>
      <c r="E12" s="10" t="str">
        <f>IFERROR(VLOOKUP(A12,'Stakeholder Analysis'!$A$1:$F$96,3,FALSE()),"High")</f>
        <v>High</v>
      </c>
      <c r="F12" s="10" t="s">
        <v>13</v>
      </c>
    </row>
    <row r="13" ht="39.75" customHeight="1">
      <c r="A13" s="9" t="s">
        <v>29</v>
      </c>
      <c r="B13" s="10" t="s">
        <v>30</v>
      </c>
      <c r="C13" s="10" t="s">
        <v>23</v>
      </c>
      <c r="D13" s="9" t="s">
        <v>31</v>
      </c>
      <c r="E13" s="10" t="str">
        <f>IFERROR(VLOOKUP(A13,'Stakeholder Analysis'!$A$1:$F$96,3,FALSE()),"Medium")</f>
        <v>Medium</v>
      </c>
      <c r="F13" s="10" t="s">
        <v>13</v>
      </c>
    </row>
    <row r="14" ht="39.75" customHeight="1">
      <c r="A14" s="11" t="s">
        <v>32</v>
      </c>
      <c r="B14" s="10" t="s">
        <v>30</v>
      </c>
      <c r="C14" s="10" t="s">
        <v>23</v>
      </c>
      <c r="D14" s="9" t="s">
        <v>33</v>
      </c>
      <c r="E14" s="10" t="str">
        <f>IFERROR(VLOOKUP(A14,'Stakeholder Analysis'!$A$1:$F$96,3,FALSE()),"Medium")</f>
        <v>Medium</v>
      </c>
      <c r="F14" s="10" t="s">
        <v>13</v>
      </c>
    </row>
    <row r="15" ht="39.75" customHeight="1">
      <c r="A15" s="9" t="s">
        <v>34</v>
      </c>
      <c r="B15" s="10" t="s">
        <v>30</v>
      </c>
      <c r="C15" s="10" t="s">
        <v>23</v>
      </c>
      <c r="D15" s="9" t="s">
        <v>35</v>
      </c>
      <c r="E15" s="10" t="str">
        <f>IFERROR(VLOOKUP(A15,'Stakeholder Analysis'!$A$1:$F$96,3,FALSE()),"Medium")</f>
        <v>Medium</v>
      </c>
      <c r="F15" s="10" t="s">
        <v>36</v>
      </c>
    </row>
    <row r="16" ht="18.0" customHeight="1">
      <c r="A16" s="8" t="s">
        <v>37</v>
      </c>
      <c r="B16" s="6"/>
      <c r="C16" s="6"/>
      <c r="D16" s="6"/>
      <c r="E16" s="6"/>
      <c r="F16" s="7"/>
    </row>
    <row r="17" ht="39.75" customHeight="1">
      <c r="A17" s="9" t="s">
        <v>38</v>
      </c>
      <c r="B17" s="10" t="s">
        <v>39</v>
      </c>
      <c r="C17" s="10" t="s">
        <v>40</v>
      </c>
      <c r="D17" s="9" t="s">
        <v>41</v>
      </c>
      <c r="E17" s="10" t="str">
        <f>IFERROR(VLOOKUP(A17,'Stakeholder Analysis'!$A$1:$F$96,3,FALSE()),"Low")</f>
        <v>Low</v>
      </c>
      <c r="F17" s="10" t="s">
        <v>13</v>
      </c>
    </row>
    <row r="18" ht="39.75" customHeight="1">
      <c r="A18" s="9" t="s">
        <v>42</v>
      </c>
      <c r="B18" s="10" t="s">
        <v>39</v>
      </c>
      <c r="C18" s="10" t="s">
        <v>40</v>
      </c>
      <c r="D18" s="9" t="s">
        <v>43</v>
      </c>
      <c r="E18" s="10" t="str">
        <f>IFERROR(VLOOKUP(A18,'Stakeholder Analysis'!$A$1:$F$96,3,FALSE()),"Low")</f>
        <v>Low</v>
      </c>
      <c r="F18" s="10" t="s">
        <v>13</v>
      </c>
    </row>
    <row r="19" ht="39.75" customHeight="1">
      <c r="A19" s="9" t="s">
        <v>44</v>
      </c>
      <c r="B19" s="10" t="s">
        <v>39</v>
      </c>
      <c r="C19" s="10" t="s">
        <v>40</v>
      </c>
      <c r="D19" s="9" t="s">
        <v>45</v>
      </c>
      <c r="E19" s="10" t="str">
        <f>IFERROR(VLOOKUP(A19,'Stakeholder Analysis'!$A$1:$F$96,3,FALSE()),"Low")</f>
        <v>Low</v>
      </c>
      <c r="F19" s="10" t="s">
        <v>13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9.75" customHeight="1">
      <c r="A20" s="9" t="s">
        <v>46</v>
      </c>
      <c r="B20" s="10" t="s">
        <v>39</v>
      </c>
      <c r="C20" s="10" t="s">
        <v>40</v>
      </c>
      <c r="D20" s="9" t="s">
        <v>47</v>
      </c>
      <c r="E20" s="10" t="str">
        <f>IFERROR(VLOOKUP(A20,'Stakeholder Analysis'!$A$1:$F$96,3,FALSE()),"Low")</f>
        <v>Low</v>
      </c>
      <c r="F20" s="10" t="s">
        <v>36</v>
      </c>
    </row>
    <row r="21" ht="39.75" customHeight="1">
      <c r="A21" s="9" t="s">
        <v>48</v>
      </c>
      <c r="B21" s="10" t="s">
        <v>39</v>
      </c>
      <c r="C21" s="10" t="s">
        <v>40</v>
      </c>
      <c r="D21" s="9" t="s">
        <v>49</v>
      </c>
      <c r="E21" s="10" t="str">
        <f>IFERROR(VLOOKUP(A21,'Stakeholder Analysis'!$A$1:$F$96,3,FALSE()),"Medium")</f>
        <v>Medium</v>
      </c>
      <c r="F21" s="10" t="s">
        <v>13</v>
      </c>
    </row>
    <row r="22" ht="19.5" customHeight="1">
      <c r="A22" s="5" t="s">
        <v>50</v>
      </c>
      <c r="B22" s="6"/>
      <c r="C22" s="6"/>
      <c r="D22" s="6"/>
      <c r="E22" s="6"/>
      <c r="F22" s="7"/>
    </row>
    <row r="23" ht="18.0" customHeight="1">
      <c r="A23" s="8" t="s">
        <v>51</v>
      </c>
      <c r="B23" s="6"/>
      <c r="C23" s="6"/>
      <c r="D23" s="6"/>
      <c r="E23" s="6"/>
      <c r="F23" s="7"/>
    </row>
    <row r="24" ht="39.75" customHeight="1">
      <c r="A24" s="9" t="s">
        <v>52</v>
      </c>
      <c r="B24" s="10" t="s">
        <v>10</v>
      </c>
      <c r="C24" s="10" t="s">
        <v>53</v>
      </c>
      <c r="D24" s="9" t="s">
        <v>54</v>
      </c>
      <c r="E24" s="10" t="str">
        <f>IFERROR(VLOOKUP(A24,'Stakeholder Analysis'!$A$1:$F$96,3,FALSE()),"High")</f>
        <v>High</v>
      </c>
      <c r="F24" s="10" t="s">
        <v>13</v>
      </c>
    </row>
    <row r="25" ht="39.75" customHeight="1">
      <c r="A25" s="9" t="s">
        <v>55</v>
      </c>
      <c r="B25" s="10" t="s">
        <v>17</v>
      </c>
      <c r="C25" s="10" t="s">
        <v>53</v>
      </c>
      <c r="D25" s="9" t="s">
        <v>56</v>
      </c>
      <c r="E25" s="10" t="str">
        <f>IFERROR(VLOOKUP(A25,'Stakeholder Analysis'!$A$1:$F$96,3,FALSE()),"High")</f>
        <v>High</v>
      </c>
      <c r="F25" s="10" t="s">
        <v>13</v>
      </c>
    </row>
    <row r="26" ht="39.75" customHeight="1">
      <c r="A26" s="9" t="s">
        <v>57</v>
      </c>
      <c r="B26" s="10" t="s">
        <v>17</v>
      </c>
      <c r="C26" s="10" t="s">
        <v>53</v>
      </c>
      <c r="D26" s="9" t="s">
        <v>58</v>
      </c>
      <c r="E26" s="10" t="s">
        <v>36</v>
      </c>
      <c r="F26" s="10" t="s">
        <v>13</v>
      </c>
    </row>
    <row r="27" ht="39.75" customHeight="1">
      <c r="A27" s="9" t="s">
        <v>59</v>
      </c>
      <c r="B27" s="10" t="s">
        <v>17</v>
      </c>
      <c r="C27" s="10" t="s">
        <v>60</v>
      </c>
      <c r="D27" s="9" t="s">
        <v>61</v>
      </c>
      <c r="E27" s="10" t="str">
        <f>IFERROR(VLOOKUP(A27,'Stakeholder Analysis'!$A$1:$F$96,3,FALSE()),"High")</f>
        <v>High</v>
      </c>
      <c r="F27" s="10" t="s">
        <v>13</v>
      </c>
    </row>
    <row r="28" ht="39.75" customHeight="1">
      <c r="A28" s="9" t="s">
        <v>62</v>
      </c>
      <c r="B28" s="10" t="s">
        <v>30</v>
      </c>
      <c r="C28" s="10" t="s">
        <v>60</v>
      </c>
      <c r="D28" s="9" t="s">
        <v>63</v>
      </c>
      <c r="E28" s="10" t="str">
        <f>IFERROR(VLOOKUP(A28,'Stakeholder Analysis'!$A$1:$F$96,3,FALSE()),"Medium")</f>
        <v>Medium</v>
      </c>
      <c r="F28" s="10" t="s">
        <v>13</v>
      </c>
    </row>
    <row r="29" ht="39.75" customHeight="1">
      <c r="A29" s="9" t="s">
        <v>64</v>
      </c>
      <c r="B29" s="10" t="s">
        <v>30</v>
      </c>
      <c r="C29" s="10" t="s">
        <v>60</v>
      </c>
      <c r="D29" s="9" t="s">
        <v>65</v>
      </c>
      <c r="E29" s="10" t="str">
        <f>IFERROR(VLOOKUP(A29,'Stakeholder Analysis'!$A$1:$F$96,3,FALSE()),"Medium")</f>
        <v>Medium</v>
      </c>
      <c r="F29" s="10" t="s">
        <v>36</v>
      </c>
    </row>
    <row r="30" ht="39.75" customHeight="1">
      <c r="A30" s="9" t="s">
        <v>66</v>
      </c>
      <c r="B30" s="10" t="s">
        <v>30</v>
      </c>
      <c r="C30" s="10" t="s">
        <v>60</v>
      </c>
      <c r="D30" s="9" t="s">
        <v>67</v>
      </c>
      <c r="E30" s="10" t="str">
        <f>IFERROR(VLOOKUP(A30,'Stakeholder Analysis'!$A$1:$F$96,3,FALSE()),"Medium")</f>
        <v>Medium</v>
      </c>
      <c r="F30" s="10" t="s">
        <v>36</v>
      </c>
    </row>
    <row r="31" ht="39.75" customHeight="1">
      <c r="A31" s="9" t="s">
        <v>68</v>
      </c>
      <c r="B31" s="10" t="s">
        <v>17</v>
      </c>
      <c r="C31" s="10" t="s">
        <v>60</v>
      </c>
      <c r="D31" s="9" t="s">
        <v>69</v>
      </c>
      <c r="E31" s="10" t="str">
        <f>IFERROR(VLOOKUP(A31,'Stakeholder Analysis'!$A$1:$F$96,3,FALSE()),"High")</f>
        <v>High</v>
      </c>
      <c r="F31" s="10" t="s">
        <v>13</v>
      </c>
    </row>
    <row r="32" ht="12.75" customHeight="1">
      <c r="A32" s="13"/>
    </row>
    <row r="33" ht="12.75" customHeight="1">
      <c r="A33" s="14"/>
      <c r="B33" s="14"/>
      <c r="C33" s="14"/>
      <c r="D33" s="14"/>
      <c r="E33" s="14"/>
      <c r="F33" s="14"/>
    </row>
    <row r="34" ht="12.75" customHeight="1">
      <c r="A34" s="14"/>
      <c r="B34" s="14"/>
      <c r="C34" s="14"/>
      <c r="D34" s="14"/>
      <c r="E34" s="14"/>
      <c r="F34" s="14"/>
    </row>
    <row r="35" ht="12.75" customHeight="1">
      <c r="A35" s="14"/>
      <c r="B35" s="14"/>
      <c r="C35" s="14"/>
      <c r="D35" s="14"/>
      <c r="E35" s="14"/>
      <c r="F35" s="14"/>
    </row>
    <row r="36" ht="12.75" customHeight="1">
      <c r="A36" s="14"/>
      <c r="B36" s="14"/>
      <c r="C36" s="14"/>
      <c r="D36" s="14"/>
      <c r="E36" s="14"/>
      <c r="F36" s="14"/>
    </row>
    <row r="37" ht="12.75" customHeight="1">
      <c r="A37" s="14"/>
      <c r="B37" s="14"/>
      <c r="C37" s="14"/>
      <c r="D37" s="14"/>
      <c r="E37" s="14"/>
      <c r="F37" s="14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A1:F1"/>
    <mergeCell ref="A3:F3"/>
    <mergeCell ref="A4:F4"/>
    <mergeCell ref="A9:F9"/>
    <mergeCell ref="A16:F16"/>
    <mergeCell ref="A22:F22"/>
    <mergeCell ref="A23:F23"/>
  </mergeCells>
  <printOptions gridLines="1" horizontalCentered="1"/>
  <pageMargins bottom="0.75" footer="0.0" header="0.0" left="0.7" right="0.7" top="0.75"/>
  <pageSetup paperSize="8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20.0"/>
    <col customWidth="1" min="3" max="5" width="12.0"/>
    <col customWidth="1" min="6" max="6" width="18.0"/>
  </cols>
  <sheetData>
    <row r="1" ht="17.25" customHeight="1">
      <c r="A1" s="1" t="s">
        <v>70</v>
      </c>
      <c r="B1" s="2"/>
      <c r="C1" s="2"/>
      <c r="D1" s="2"/>
      <c r="E1" s="2"/>
      <c r="F1" s="3"/>
    </row>
    <row r="2" ht="12.75" customHeight="1">
      <c r="A2" s="4" t="s">
        <v>1</v>
      </c>
      <c r="B2" s="4" t="s">
        <v>71</v>
      </c>
      <c r="C2" s="4" t="s">
        <v>5</v>
      </c>
      <c r="D2" s="4" t="s">
        <v>72</v>
      </c>
      <c r="E2" s="4" t="s">
        <v>6</v>
      </c>
      <c r="F2" s="4" t="s">
        <v>73</v>
      </c>
    </row>
    <row r="3" ht="18.0" customHeight="1">
      <c r="A3" s="8" t="s">
        <v>8</v>
      </c>
      <c r="B3" s="6"/>
      <c r="C3" s="6"/>
      <c r="D3" s="6"/>
      <c r="E3" s="6"/>
      <c r="F3" s="7"/>
    </row>
    <row r="4" ht="34.5" customHeight="1">
      <c r="A4" s="9" t="s">
        <v>9</v>
      </c>
      <c r="B4" s="10" t="s">
        <v>11</v>
      </c>
      <c r="C4" s="10" t="s">
        <v>13</v>
      </c>
      <c r="D4" s="10" t="s">
        <v>13</v>
      </c>
      <c r="E4" s="10" t="s">
        <v>13</v>
      </c>
      <c r="F4" s="15" t="s">
        <v>74</v>
      </c>
    </row>
    <row r="5" ht="34.5" customHeight="1">
      <c r="A5" s="9" t="s">
        <v>75</v>
      </c>
      <c r="B5" s="10" t="s">
        <v>11</v>
      </c>
      <c r="C5" s="10" t="s">
        <v>13</v>
      </c>
      <c r="D5" s="10" t="s">
        <v>13</v>
      </c>
      <c r="E5" s="10" t="s">
        <v>13</v>
      </c>
      <c r="F5" s="15" t="s">
        <v>74</v>
      </c>
    </row>
    <row r="6" ht="34.5" customHeight="1">
      <c r="A6" s="9" t="s">
        <v>16</v>
      </c>
      <c r="B6" s="10" t="s">
        <v>11</v>
      </c>
      <c r="C6" s="10" t="s">
        <v>13</v>
      </c>
      <c r="D6" s="10" t="s">
        <v>13</v>
      </c>
      <c r="E6" s="10" t="s">
        <v>13</v>
      </c>
      <c r="F6" s="15" t="s">
        <v>74</v>
      </c>
    </row>
    <row r="7" ht="34.5" customHeight="1">
      <c r="A7" s="9" t="s">
        <v>19</v>
      </c>
      <c r="B7" s="10" t="s">
        <v>11</v>
      </c>
      <c r="C7" s="10" t="s">
        <v>36</v>
      </c>
      <c r="D7" s="10" t="s">
        <v>13</v>
      </c>
      <c r="E7" s="10" t="s">
        <v>13</v>
      </c>
      <c r="F7" s="16" t="s">
        <v>76</v>
      </c>
    </row>
    <row r="8" ht="18.0" customHeight="1">
      <c r="A8" s="8" t="s">
        <v>21</v>
      </c>
      <c r="B8" s="6"/>
      <c r="C8" s="6"/>
      <c r="D8" s="6"/>
      <c r="E8" s="6"/>
      <c r="F8" s="7"/>
    </row>
    <row r="9" ht="34.5" customHeight="1">
      <c r="A9" s="9" t="s">
        <v>22</v>
      </c>
      <c r="B9" s="10" t="s">
        <v>23</v>
      </c>
      <c r="C9" s="10" t="s">
        <v>13</v>
      </c>
      <c r="D9" s="10" t="s">
        <v>13</v>
      </c>
      <c r="E9" s="10" t="s">
        <v>13</v>
      </c>
      <c r="F9" s="15" t="s">
        <v>74</v>
      </c>
    </row>
    <row r="10" ht="34.5" customHeight="1">
      <c r="A10" s="9" t="s">
        <v>25</v>
      </c>
      <c r="B10" s="10" t="s">
        <v>23</v>
      </c>
      <c r="C10" s="10" t="s">
        <v>13</v>
      </c>
      <c r="D10" s="10" t="s">
        <v>13</v>
      </c>
      <c r="E10" s="10" t="s">
        <v>13</v>
      </c>
      <c r="F10" s="15" t="s">
        <v>74</v>
      </c>
    </row>
    <row r="11" ht="34.5" customHeight="1">
      <c r="A11" s="9" t="s">
        <v>27</v>
      </c>
      <c r="B11" s="10" t="s">
        <v>23</v>
      </c>
      <c r="C11" s="10" t="s">
        <v>13</v>
      </c>
      <c r="D11" s="10" t="s">
        <v>13</v>
      </c>
      <c r="E11" s="10" t="s">
        <v>13</v>
      </c>
      <c r="F11" s="15" t="s">
        <v>74</v>
      </c>
    </row>
    <row r="12" ht="34.5" customHeight="1">
      <c r="A12" s="9" t="s">
        <v>29</v>
      </c>
      <c r="B12" s="10" t="s">
        <v>23</v>
      </c>
      <c r="C12" s="10" t="s">
        <v>36</v>
      </c>
      <c r="D12" s="10" t="s">
        <v>13</v>
      </c>
      <c r="E12" s="10" t="s">
        <v>13</v>
      </c>
      <c r="F12" s="16" t="s">
        <v>76</v>
      </c>
    </row>
    <row r="13" ht="34.5" customHeight="1">
      <c r="A13" s="9" t="s">
        <v>34</v>
      </c>
      <c r="B13" s="10" t="s">
        <v>23</v>
      </c>
      <c r="C13" s="10" t="s">
        <v>36</v>
      </c>
      <c r="D13" s="10" t="s">
        <v>36</v>
      </c>
      <c r="E13" s="10" t="s">
        <v>36</v>
      </c>
      <c r="F13" s="16" t="s">
        <v>76</v>
      </c>
    </row>
    <row r="14" ht="18.0" customHeight="1">
      <c r="A14" s="8" t="s">
        <v>37</v>
      </c>
      <c r="B14" s="6"/>
      <c r="C14" s="6"/>
      <c r="D14" s="6"/>
      <c r="E14" s="6"/>
      <c r="F14" s="7"/>
    </row>
    <row r="15" ht="34.5" customHeight="1">
      <c r="A15" s="9" t="s">
        <v>77</v>
      </c>
      <c r="B15" s="10" t="s">
        <v>40</v>
      </c>
      <c r="C15" s="10" t="s">
        <v>78</v>
      </c>
      <c r="D15" s="10" t="s">
        <v>13</v>
      </c>
      <c r="E15" s="10" t="s">
        <v>13</v>
      </c>
      <c r="F15" s="16" t="s">
        <v>76</v>
      </c>
    </row>
    <row r="16" ht="34.5" customHeight="1">
      <c r="A16" s="9" t="s">
        <v>42</v>
      </c>
      <c r="B16" s="10" t="s">
        <v>40</v>
      </c>
      <c r="C16" s="10" t="s">
        <v>78</v>
      </c>
      <c r="D16" s="10" t="s">
        <v>13</v>
      </c>
      <c r="E16" s="10" t="s">
        <v>13</v>
      </c>
      <c r="F16" s="16" t="s">
        <v>76</v>
      </c>
    </row>
    <row r="17" ht="34.5" customHeight="1">
      <c r="A17" s="9" t="s">
        <v>44</v>
      </c>
      <c r="B17" s="10" t="s">
        <v>40</v>
      </c>
      <c r="C17" s="10" t="s">
        <v>78</v>
      </c>
      <c r="D17" s="10" t="s">
        <v>13</v>
      </c>
      <c r="E17" s="10" t="s">
        <v>13</v>
      </c>
      <c r="F17" s="16" t="s">
        <v>76</v>
      </c>
    </row>
    <row r="18" ht="34.5" customHeight="1">
      <c r="A18" s="9" t="s">
        <v>46</v>
      </c>
      <c r="B18" s="10" t="s">
        <v>40</v>
      </c>
      <c r="C18" s="10" t="s">
        <v>78</v>
      </c>
      <c r="D18" s="10" t="s">
        <v>36</v>
      </c>
      <c r="E18" s="10" t="s">
        <v>36</v>
      </c>
      <c r="F18" s="17" t="s">
        <v>79</v>
      </c>
    </row>
    <row r="19" ht="34.5" customHeight="1">
      <c r="A19" s="9" t="s">
        <v>48</v>
      </c>
      <c r="B19" s="10" t="s">
        <v>40</v>
      </c>
      <c r="C19" s="10" t="s">
        <v>36</v>
      </c>
      <c r="D19" s="10" t="s">
        <v>13</v>
      </c>
      <c r="E19" s="10" t="s">
        <v>13</v>
      </c>
      <c r="F19" s="16" t="s">
        <v>76</v>
      </c>
    </row>
    <row r="20" ht="18.0" customHeight="1">
      <c r="A20" s="8" t="s">
        <v>51</v>
      </c>
      <c r="B20" s="6"/>
      <c r="C20" s="6"/>
      <c r="D20" s="6"/>
      <c r="E20" s="6"/>
      <c r="F20" s="7"/>
    </row>
    <row r="21" ht="34.5" customHeight="1">
      <c r="A21" s="9" t="s">
        <v>52</v>
      </c>
      <c r="B21" s="10" t="s">
        <v>53</v>
      </c>
      <c r="C21" s="10" t="s">
        <v>13</v>
      </c>
      <c r="D21" s="10" t="s">
        <v>13</v>
      </c>
      <c r="E21" s="10" t="s">
        <v>13</v>
      </c>
      <c r="F21" s="15" t="s">
        <v>74</v>
      </c>
    </row>
    <row r="22" ht="34.5" customHeight="1">
      <c r="A22" s="9" t="s">
        <v>55</v>
      </c>
      <c r="B22" s="10" t="s">
        <v>53</v>
      </c>
      <c r="C22" s="10" t="s">
        <v>13</v>
      </c>
      <c r="D22" s="10" t="s">
        <v>13</v>
      </c>
      <c r="E22" s="10" t="s">
        <v>13</v>
      </c>
      <c r="F22" s="15" t="s">
        <v>74</v>
      </c>
    </row>
    <row r="23" ht="34.5" customHeight="1">
      <c r="A23" s="9" t="s">
        <v>57</v>
      </c>
      <c r="B23" s="10" t="s">
        <v>53</v>
      </c>
      <c r="C23" s="10" t="s">
        <v>13</v>
      </c>
      <c r="D23" s="10" t="s">
        <v>13</v>
      </c>
      <c r="E23" s="10" t="s">
        <v>13</v>
      </c>
      <c r="F23" s="15" t="s">
        <v>74</v>
      </c>
    </row>
    <row r="24" ht="34.5" customHeight="1">
      <c r="A24" s="9" t="s">
        <v>59</v>
      </c>
      <c r="B24" s="10" t="s">
        <v>60</v>
      </c>
      <c r="C24" s="10" t="s">
        <v>13</v>
      </c>
      <c r="D24" s="10" t="s">
        <v>13</v>
      </c>
      <c r="E24" s="10" t="s">
        <v>13</v>
      </c>
      <c r="F24" s="15" t="s">
        <v>74</v>
      </c>
    </row>
    <row r="25" ht="34.5" customHeight="1">
      <c r="A25" s="9" t="s">
        <v>62</v>
      </c>
      <c r="B25" s="10" t="s">
        <v>60</v>
      </c>
      <c r="C25" s="10" t="s">
        <v>36</v>
      </c>
      <c r="D25" s="10" t="s">
        <v>13</v>
      </c>
      <c r="E25" s="10" t="s">
        <v>13</v>
      </c>
      <c r="F25" s="16" t="s">
        <v>76</v>
      </c>
    </row>
    <row r="26" ht="34.5" customHeight="1">
      <c r="A26" s="9" t="s">
        <v>64</v>
      </c>
      <c r="B26" s="10" t="s">
        <v>60</v>
      </c>
      <c r="C26" s="10" t="s">
        <v>36</v>
      </c>
      <c r="D26" s="10" t="s">
        <v>36</v>
      </c>
      <c r="E26" s="10" t="s">
        <v>36</v>
      </c>
      <c r="F26" s="16" t="s">
        <v>76</v>
      </c>
    </row>
    <row r="27" ht="34.5" customHeight="1">
      <c r="A27" s="9" t="s">
        <v>66</v>
      </c>
      <c r="B27" s="10" t="s">
        <v>60</v>
      </c>
      <c r="C27" s="10" t="s">
        <v>36</v>
      </c>
      <c r="D27" s="10" t="s">
        <v>13</v>
      </c>
      <c r="E27" s="10" t="s">
        <v>13</v>
      </c>
      <c r="F27" s="16" t="s">
        <v>76</v>
      </c>
    </row>
    <row r="28" ht="34.5" customHeight="1">
      <c r="A28" s="9" t="s">
        <v>68</v>
      </c>
      <c r="B28" s="10" t="s">
        <v>60</v>
      </c>
      <c r="C28" s="10" t="s">
        <v>13</v>
      </c>
      <c r="D28" s="10" t="s">
        <v>13</v>
      </c>
      <c r="E28" s="10" t="s">
        <v>13</v>
      </c>
      <c r="F28" s="15" t="s">
        <v>74</v>
      </c>
    </row>
    <row r="29" ht="12.75" customHeight="1">
      <c r="A29" s="14"/>
      <c r="B29" s="14"/>
      <c r="C29" s="14"/>
      <c r="D29" s="14"/>
      <c r="E29" s="14"/>
      <c r="F29" s="14"/>
    </row>
    <row r="30" ht="12.75" customHeight="1">
      <c r="A30" s="12"/>
    </row>
    <row r="31" ht="12.75" customHeight="1">
      <c r="A31" s="14"/>
      <c r="B31" s="14"/>
      <c r="C31" s="14"/>
      <c r="D31" s="14"/>
      <c r="E31" s="14"/>
      <c r="F31" s="14"/>
    </row>
    <row r="32" ht="12.75" customHeight="1">
      <c r="A32" s="14"/>
      <c r="B32" s="14"/>
      <c r="C32" s="14"/>
      <c r="D32" s="14"/>
      <c r="E32" s="14"/>
      <c r="F32" s="14"/>
    </row>
    <row r="33" ht="12.75" customHeight="1">
      <c r="A33" s="14"/>
      <c r="B33" s="14"/>
      <c r="C33" s="14"/>
      <c r="D33" s="14"/>
      <c r="E33" s="14"/>
      <c r="F33" s="14"/>
    </row>
    <row r="34" ht="12.75" customHeight="1">
      <c r="A34" s="14"/>
      <c r="B34" s="14"/>
      <c r="C34" s="14"/>
      <c r="D34" s="14"/>
      <c r="E34" s="14"/>
      <c r="F34" s="14"/>
    </row>
    <row r="35" ht="12.75" customHeight="1">
      <c r="A35" s="14"/>
      <c r="B35" s="14"/>
      <c r="C35" s="14"/>
      <c r="D35" s="14"/>
      <c r="E35" s="14"/>
      <c r="F35" s="14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F1"/>
    <mergeCell ref="A3:F3"/>
    <mergeCell ref="A8:F8"/>
    <mergeCell ref="A14:F14"/>
    <mergeCell ref="A20:F2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0"/>
    <col customWidth="1" min="2" max="9" width="14.0"/>
  </cols>
  <sheetData>
    <row r="1" ht="12.75" customHeight="1">
      <c r="A1" s="18" t="s">
        <v>80</v>
      </c>
      <c r="B1" s="19"/>
      <c r="C1" s="20"/>
      <c r="D1" s="19"/>
      <c r="E1" s="19"/>
      <c r="F1" s="19"/>
      <c r="G1" s="19"/>
      <c r="H1" s="19"/>
      <c r="I1" s="19"/>
    </row>
    <row r="2" ht="12.75" customHeight="1">
      <c r="A2" s="14" t="s">
        <v>81</v>
      </c>
    </row>
    <row r="3" ht="12.75" customHeight="1">
      <c r="A3" s="14" t="s">
        <v>82</v>
      </c>
    </row>
    <row r="4" ht="12.75" customHeight="1">
      <c r="A4" s="14" t="s">
        <v>83</v>
      </c>
    </row>
    <row r="5" ht="12.75" customHeight="1">
      <c r="A5" s="14" t="s">
        <v>84</v>
      </c>
    </row>
    <row r="6" ht="45.0" customHeight="1">
      <c r="A6" s="21" t="s">
        <v>85</v>
      </c>
      <c r="B6" s="22" t="s">
        <v>86</v>
      </c>
      <c r="C6" s="22" t="s">
        <v>55</v>
      </c>
      <c r="D6" s="22" t="s">
        <v>57</v>
      </c>
      <c r="E6" s="22" t="s">
        <v>87</v>
      </c>
      <c r="F6" s="22" t="s">
        <v>88</v>
      </c>
      <c r="G6" s="22" t="s">
        <v>66</v>
      </c>
      <c r="H6" s="22" t="s">
        <v>89</v>
      </c>
      <c r="I6" s="22" t="s">
        <v>90</v>
      </c>
    </row>
    <row r="7" ht="19.5" customHeight="1">
      <c r="A7" s="23" t="s">
        <v>91</v>
      </c>
      <c r="B7" s="6"/>
      <c r="C7" s="6"/>
      <c r="D7" s="6"/>
      <c r="E7" s="6"/>
      <c r="F7" s="6"/>
      <c r="G7" s="6"/>
      <c r="H7" s="6"/>
      <c r="I7" s="7"/>
    </row>
    <row r="8" ht="34.5" customHeight="1">
      <c r="A8" s="9" t="s">
        <v>92</v>
      </c>
      <c r="B8" s="24" t="s">
        <v>93</v>
      </c>
      <c r="C8" s="15" t="s">
        <v>94</v>
      </c>
      <c r="D8" s="15" t="s">
        <v>94</v>
      </c>
      <c r="E8" s="16" t="s">
        <v>95</v>
      </c>
      <c r="F8" s="25" t="s">
        <v>96</v>
      </c>
      <c r="G8" s="25" t="s">
        <v>96</v>
      </c>
      <c r="H8" s="16" t="s">
        <v>95</v>
      </c>
      <c r="I8" s="25" t="s">
        <v>96</v>
      </c>
    </row>
    <row r="9" ht="34.5" customHeight="1">
      <c r="A9" s="9" t="s">
        <v>97</v>
      </c>
      <c r="B9" s="24" t="s">
        <v>93</v>
      </c>
      <c r="C9" s="15" t="s">
        <v>94</v>
      </c>
      <c r="D9" s="15" t="s">
        <v>94</v>
      </c>
      <c r="E9" s="16" t="s">
        <v>95</v>
      </c>
      <c r="F9" s="25" t="s">
        <v>96</v>
      </c>
      <c r="G9" s="25" t="s">
        <v>96</v>
      </c>
      <c r="H9" s="16" t="s">
        <v>95</v>
      </c>
      <c r="I9" s="25" t="s">
        <v>96</v>
      </c>
    </row>
    <row r="10" ht="34.5" customHeight="1">
      <c r="A10" s="9" t="s">
        <v>98</v>
      </c>
      <c r="B10" s="24" t="s">
        <v>93</v>
      </c>
      <c r="C10" s="16" t="s">
        <v>95</v>
      </c>
      <c r="D10" s="15" t="s">
        <v>94</v>
      </c>
      <c r="E10" s="25" t="s">
        <v>96</v>
      </c>
      <c r="F10" s="25" t="s">
        <v>96</v>
      </c>
      <c r="G10" s="25" t="s">
        <v>96</v>
      </c>
      <c r="H10" s="15" t="s">
        <v>94</v>
      </c>
      <c r="I10" s="16" t="s">
        <v>95</v>
      </c>
    </row>
    <row r="11" ht="34.5" customHeight="1">
      <c r="A11" s="9" t="s">
        <v>99</v>
      </c>
      <c r="B11" s="25" t="s">
        <v>96</v>
      </c>
      <c r="C11" s="16" t="s">
        <v>95</v>
      </c>
      <c r="D11" s="15" t="s">
        <v>100</v>
      </c>
      <c r="E11" s="16" t="s">
        <v>95</v>
      </c>
      <c r="F11" s="25" t="s">
        <v>96</v>
      </c>
      <c r="G11" s="25" t="s">
        <v>96</v>
      </c>
      <c r="H11" s="15" t="s">
        <v>94</v>
      </c>
      <c r="I11" s="25" t="s">
        <v>96</v>
      </c>
    </row>
    <row r="12" ht="34.5" customHeight="1">
      <c r="A12" s="9" t="s">
        <v>101</v>
      </c>
      <c r="B12" s="25" t="s">
        <v>96</v>
      </c>
      <c r="C12" s="16" t="s">
        <v>95</v>
      </c>
      <c r="D12" s="15" t="s">
        <v>100</v>
      </c>
      <c r="E12" s="16" t="s">
        <v>95</v>
      </c>
      <c r="F12" s="25" t="s">
        <v>96</v>
      </c>
      <c r="G12" s="25" t="s">
        <v>96</v>
      </c>
      <c r="H12" s="16" t="s">
        <v>95</v>
      </c>
      <c r="I12" s="25" t="s">
        <v>96</v>
      </c>
    </row>
    <row r="13" ht="19.5" customHeight="1">
      <c r="A13" s="23" t="s">
        <v>102</v>
      </c>
      <c r="B13" s="6"/>
      <c r="C13" s="6"/>
      <c r="D13" s="6"/>
      <c r="E13" s="6"/>
      <c r="F13" s="6"/>
      <c r="G13" s="6"/>
      <c r="H13" s="6"/>
      <c r="I13" s="7"/>
    </row>
    <row r="14" ht="34.5" customHeight="1">
      <c r="A14" s="9" t="s">
        <v>103</v>
      </c>
      <c r="B14" s="25" t="s">
        <v>96</v>
      </c>
      <c r="C14" s="24" t="s">
        <v>93</v>
      </c>
      <c r="D14" s="16" t="s">
        <v>95</v>
      </c>
      <c r="E14" s="15" t="s">
        <v>94</v>
      </c>
      <c r="F14" s="15" t="s">
        <v>94</v>
      </c>
      <c r="G14" s="16" t="s">
        <v>95</v>
      </c>
      <c r="H14" s="16" t="s">
        <v>95</v>
      </c>
      <c r="I14" s="25" t="s">
        <v>96</v>
      </c>
    </row>
    <row r="15" ht="34.5" customHeight="1">
      <c r="A15" s="9" t="s">
        <v>104</v>
      </c>
      <c r="B15" s="25" t="s">
        <v>96</v>
      </c>
      <c r="C15" s="24" t="s">
        <v>93</v>
      </c>
      <c r="D15" s="16" t="s">
        <v>95</v>
      </c>
      <c r="E15" s="15" t="s">
        <v>94</v>
      </c>
      <c r="F15" s="15" t="s">
        <v>94</v>
      </c>
      <c r="G15" s="16" t="s">
        <v>95</v>
      </c>
      <c r="H15" s="16" t="s">
        <v>95</v>
      </c>
      <c r="I15" s="25" t="s">
        <v>96</v>
      </c>
    </row>
    <row r="16" ht="34.5" customHeight="1">
      <c r="A16" s="9" t="s">
        <v>105</v>
      </c>
      <c r="B16" s="25" t="s">
        <v>96</v>
      </c>
      <c r="C16" s="24" t="s">
        <v>93</v>
      </c>
      <c r="D16" s="16" t="s">
        <v>95</v>
      </c>
      <c r="E16" s="15" t="s">
        <v>94</v>
      </c>
      <c r="F16" s="15" t="s">
        <v>94</v>
      </c>
      <c r="G16" s="16" t="s">
        <v>95</v>
      </c>
      <c r="H16" s="16" t="s">
        <v>95</v>
      </c>
      <c r="I16" s="25" t="s">
        <v>96</v>
      </c>
    </row>
    <row r="17" ht="34.5" customHeight="1">
      <c r="A17" s="9" t="s">
        <v>106</v>
      </c>
      <c r="B17" s="25" t="s">
        <v>96</v>
      </c>
      <c r="C17" s="16" t="s">
        <v>95</v>
      </c>
      <c r="D17" s="16" t="s">
        <v>95</v>
      </c>
      <c r="E17" s="15" t="s">
        <v>100</v>
      </c>
      <c r="F17" s="15" t="s">
        <v>94</v>
      </c>
      <c r="G17" s="16" t="s">
        <v>95</v>
      </c>
      <c r="H17" s="16" t="s">
        <v>95</v>
      </c>
      <c r="I17" s="25" t="s">
        <v>96</v>
      </c>
    </row>
    <row r="18" ht="34.5" customHeight="1">
      <c r="A18" s="9" t="s">
        <v>107</v>
      </c>
      <c r="B18" s="25" t="s">
        <v>96</v>
      </c>
      <c r="C18" s="24" t="s">
        <v>93</v>
      </c>
      <c r="D18" s="16" t="s">
        <v>95</v>
      </c>
      <c r="E18" s="15" t="s">
        <v>94</v>
      </c>
      <c r="F18" s="15" t="s">
        <v>94</v>
      </c>
      <c r="G18" s="16" t="s">
        <v>95</v>
      </c>
      <c r="H18" s="16" t="s">
        <v>95</v>
      </c>
      <c r="I18" s="25" t="s">
        <v>96</v>
      </c>
    </row>
    <row r="19" ht="19.5" customHeight="1">
      <c r="A19" s="23" t="s">
        <v>108</v>
      </c>
      <c r="B19" s="6"/>
      <c r="C19" s="6"/>
      <c r="D19" s="6"/>
      <c r="E19" s="6"/>
      <c r="F19" s="6"/>
      <c r="G19" s="6"/>
      <c r="H19" s="6"/>
      <c r="I19" s="7"/>
    </row>
    <row r="20" ht="34.5" customHeight="1">
      <c r="A20" s="9" t="s">
        <v>109</v>
      </c>
      <c r="B20" s="25" t="s">
        <v>96</v>
      </c>
      <c r="C20" s="16" t="s">
        <v>95</v>
      </c>
      <c r="D20" s="16" t="s">
        <v>95</v>
      </c>
      <c r="E20" s="16" t="s">
        <v>95</v>
      </c>
      <c r="F20" s="15" t="s">
        <v>94</v>
      </c>
      <c r="G20" s="24" t="s">
        <v>93</v>
      </c>
      <c r="H20" s="16" t="s">
        <v>95</v>
      </c>
      <c r="I20" s="25" t="s">
        <v>96</v>
      </c>
    </row>
    <row r="21" ht="34.5" customHeight="1">
      <c r="A21" s="9" t="s">
        <v>110</v>
      </c>
      <c r="B21" s="25" t="s">
        <v>96</v>
      </c>
      <c r="C21" s="16" t="s">
        <v>95</v>
      </c>
      <c r="D21" s="16" t="s">
        <v>95</v>
      </c>
      <c r="E21" s="16" t="s">
        <v>95</v>
      </c>
      <c r="F21" s="15" t="s">
        <v>94</v>
      </c>
      <c r="G21" s="24" t="s">
        <v>93</v>
      </c>
      <c r="H21" s="25" t="s">
        <v>96</v>
      </c>
      <c r="I21" s="25" t="s">
        <v>96</v>
      </c>
    </row>
    <row r="22" ht="34.5" customHeight="1">
      <c r="A22" s="9" t="s">
        <v>111</v>
      </c>
      <c r="B22" s="25" t="s">
        <v>96</v>
      </c>
      <c r="C22" s="16" t="s">
        <v>95</v>
      </c>
      <c r="D22" s="24" t="s">
        <v>93</v>
      </c>
      <c r="E22" s="16" t="s">
        <v>95</v>
      </c>
      <c r="F22" s="16" t="s">
        <v>95</v>
      </c>
      <c r="G22" s="15" t="s">
        <v>94</v>
      </c>
      <c r="H22" s="16" t="s">
        <v>95</v>
      </c>
      <c r="I22" s="15" t="s">
        <v>94</v>
      </c>
    </row>
    <row r="23" ht="34.5" customHeight="1">
      <c r="A23" s="9" t="s">
        <v>112</v>
      </c>
      <c r="B23" s="24" t="s">
        <v>93</v>
      </c>
      <c r="C23" s="15" t="s">
        <v>94</v>
      </c>
      <c r="D23" s="15" t="s">
        <v>94</v>
      </c>
      <c r="E23" s="16" t="s">
        <v>95</v>
      </c>
      <c r="F23" s="25" t="s">
        <v>96</v>
      </c>
      <c r="G23" s="16" t="s">
        <v>95</v>
      </c>
      <c r="H23" s="15" t="s">
        <v>94</v>
      </c>
      <c r="I23" s="16" t="s">
        <v>95</v>
      </c>
    </row>
    <row r="24" ht="19.5" customHeight="1">
      <c r="A24" s="23" t="s">
        <v>113</v>
      </c>
      <c r="B24" s="6"/>
      <c r="C24" s="6"/>
      <c r="D24" s="6"/>
      <c r="E24" s="6"/>
      <c r="F24" s="6"/>
      <c r="G24" s="6"/>
      <c r="H24" s="6"/>
      <c r="I24" s="7"/>
    </row>
    <row r="25" ht="34.5" customHeight="1">
      <c r="A25" s="9" t="s">
        <v>114</v>
      </c>
      <c r="B25" s="24" t="s">
        <v>93</v>
      </c>
      <c r="C25" s="15" t="s">
        <v>94</v>
      </c>
      <c r="D25" s="15" t="s">
        <v>94</v>
      </c>
      <c r="E25" s="16" t="s">
        <v>95</v>
      </c>
      <c r="F25" s="25" t="s">
        <v>96</v>
      </c>
      <c r="G25" s="25" t="s">
        <v>96</v>
      </c>
      <c r="H25" s="15" t="s">
        <v>94</v>
      </c>
      <c r="I25" s="25" t="s">
        <v>96</v>
      </c>
    </row>
    <row r="26" ht="34.5" customHeight="1">
      <c r="A26" s="9" t="s">
        <v>115</v>
      </c>
      <c r="B26" s="25" t="s">
        <v>96</v>
      </c>
      <c r="C26" s="24" t="s">
        <v>93</v>
      </c>
      <c r="D26" s="15" t="s">
        <v>94</v>
      </c>
      <c r="E26" s="16" t="s">
        <v>95</v>
      </c>
      <c r="F26" s="15" t="s">
        <v>94</v>
      </c>
      <c r="G26" s="25" t="s">
        <v>96</v>
      </c>
      <c r="H26" s="16" t="s">
        <v>95</v>
      </c>
      <c r="I26" s="25" t="s">
        <v>96</v>
      </c>
    </row>
    <row r="27" ht="34.5" customHeight="1">
      <c r="A27" s="9" t="s">
        <v>116</v>
      </c>
      <c r="B27" s="16" t="s">
        <v>95</v>
      </c>
      <c r="C27" s="15" t="s">
        <v>100</v>
      </c>
      <c r="D27" s="15" t="s">
        <v>94</v>
      </c>
      <c r="E27" s="15" t="s">
        <v>94</v>
      </c>
      <c r="F27" s="25" t="s">
        <v>96</v>
      </c>
      <c r="G27" s="25" t="s">
        <v>96</v>
      </c>
      <c r="H27" s="16" t="s">
        <v>95</v>
      </c>
      <c r="I27" s="25" t="s">
        <v>96</v>
      </c>
    </row>
    <row r="28" ht="34.5" customHeight="1">
      <c r="A28" s="9" t="s">
        <v>117</v>
      </c>
      <c r="B28" s="25" t="s">
        <v>96</v>
      </c>
      <c r="C28" s="16" t="s">
        <v>95</v>
      </c>
      <c r="D28" s="16" t="s">
        <v>95</v>
      </c>
      <c r="E28" s="25" t="s">
        <v>96</v>
      </c>
      <c r="F28" s="25" t="s">
        <v>96</v>
      </c>
      <c r="G28" s="25" t="s">
        <v>96</v>
      </c>
      <c r="H28" s="15" t="s">
        <v>100</v>
      </c>
      <c r="I28" s="15" t="s">
        <v>94</v>
      </c>
    </row>
    <row r="29" ht="34.5" customHeight="1">
      <c r="A29" s="9" t="s">
        <v>118</v>
      </c>
      <c r="B29" s="24" t="s">
        <v>93</v>
      </c>
      <c r="C29" s="16" t="s">
        <v>95</v>
      </c>
      <c r="D29" s="15" t="s">
        <v>94</v>
      </c>
      <c r="E29" s="25" t="s">
        <v>96</v>
      </c>
      <c r="F29" s="25" t="s">
        <v>96</v>
      </c>
      <c r="G29" s="25" t="s">
        <v>96</v>
      </c>
      <c r="H29" s="15" t="s">
        <v>94</v>
      </c>
      <c r="I29" s="25" t="s">
        <v>96</v>
      </c>
    </row>
    <row r="30" ht="19.5" customHeight="1">
      <c r="A30" s="23" t="s">
        <v>119</v>
      </c>
      <c r="B30" s="6"/>
      <c r="C30" s="6"/>
      <c r="D30" s="6"/>
      <c r="E30" s="6"/>
      <c r="F30" s="6"/>
      <c r="G30" s="6"/>
      <c r="H30" s="6"/>
      <c r="I30" s="7"/>
    </row>
    <row r="31" ht="34.5" customHeight="1">
      <c r="A31" s="9" t="s">
        <v>120</v>
      </c>
      <c r="B31" s="24" t="s">
        <v>93</v>
      </c>
      <c r="C31" s="15" t="s">
        <v>94</v>
      </c>
      <c r="D31" s="16" t="s">
        <v>95</v>
      </c>
      <c r="E31" s="25" t="s">
        <v>96</v>
      </c>
      <c r="F31" s="25" t="s">
        <v>96</v>
      </c>
      <c r="G31" s="25" t="s">
        <v>96</v>
      </c>
      <c r="H31" s="15" t="s">
        <v>94</v>
      </c>
      <c r="I31" s="16" t="s">
        <v>95</v>
      </c>
    </row>
    <row r="32" ht="34.5" customHeight="1">
      <c r="A32" s="9" t="s">
        <v>121</v>
      </c>
      <c r="B32" s="25" t="s">
        <v>96</v>
      </c>
      <c r="C32" s="16" t="s">
        <v>95</v>
      </c>
      <c r="D32" s="16" t="s">
        <v>95</v>
      </c>
      <c r="E32" s="16" t="s">
        <v>95</v>
      </c>
      <c r="F32" s="15" t="s">
        <v>94</v>
      </c>
      <c r="G32" s="25" t="s">
        <v>96</v>
      </c>
      <c r="H32" s="24" t="s">
        <v>93</v>
      </c>
      <c r="I32" s="25" t="s">
        <v>96</v>
      </c>
    </row>
    <row r="33" ht="34.5" customHeight="1">
      <c r="A33" s="9" t="s">
        <v>122</v>
      </c>
      <c r="B33" s="24" t="s">
        <v>93</v>
      </c>
      <c r="C33" s="15" t="s">
        <v>94</v>
      </c>
      <c r="D33" s="16" t="s">
        <v>95</v>
      </c>
      <c r="E33" s="25" t="s">
        <v>96</v>
      </c>
      <c r="F33" s="25" t="s">
        <v>96</v>
      </c>
      <c r="G33" s="25" t="s">
        <v>96</v>
      </c>
      <c r="H33" s="15" t="s">
        <v>94</v>
      </c>
      <c r="I33" s="16" t="s">
        <v>95</v>
      </c>
    </row>
    <row r="34" ht="34.5" customHeight="1">
      <c r="A34" s="9" t="s">
        <v>123</v>
      </c>
      <c r="B34" s="24" t="s">
        <v>93</v>
      </c>
      <c r="C34" s="15" t="s">
        <v>94</v>
      </c>
      <c r="D34" s="16" t="s">
        <v>95</v>
      </c>
      <c r="E34" s="25" t="s">
        <v>96</v>
      </c>
      <c r="F34" s="25" t="s">
        <v>96</v>
      </c>
      <c r="G34" s="25" t="s">
        <v>96</v>
      </c>
      <c r="H34" s="15" t="s">
        <v>94</v>
      </c>
      <c r="I34" s="16" t="s">
        <v>95</v>
      </c>
    </row>
    <row r="35" ht="34.5" customHeight="1">
      <c r="A35" s="9" t="s">
        <v>124</v>
      </c>
      <c r="B35" s="25" t="s">
        <v>96</v>
      </c>
      <c r="C35" s="16" t="s">
        <v>95</v>
      </c>
      <c r="D35" s="15" t="s">
        <v>100</v>
      </c>
      <c r="E35" s="16" t="s">
        <v>95</v>
      </c>
      <c r="F35" s="25" t="s">
        <v>96</v>
      </c>
      <c r="G35" s="25" t="s">
        <v>96</v>
      </c>
      <c r="H35" s="16" t="s">
        <v>95</v>
      </c>
      <c r="I35" s="15" t="s">
        <v>94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7:I7"/>
    <mergeCell ref="A13:I13"/>
    <mergeCell ref="A19:I19"/>
    <mergeCell ref="A24:I24"/>
    <mergeCell ref="A30:I3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2026-05-15T07:33:35Z</dcterms:created>
  <dc:creator>openpyxl</dc:creator>
</cp:coreProperties>
</file>